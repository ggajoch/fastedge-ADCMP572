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9426"/>
  <workbookPr codeName="ThisWorkbook"/>
  <bookViews>
    <workbookView xmlns:d3p1="http://schemas.microsoft.com/office/spreadsheetml/2015/revision2" xWindow="-108" yWindow="-108" windowWidth="46296" windowHeight="25416" d3p1:uid="{00000000-000D-0000-FFFF-FFFF00000000}"/>
  </bookViews>
  <sheets>
    <sheet name="BOM" sheetId="1" r:id="rId1"/>
  </sheets>
  <definedNames>
    <definedName name="_xlnm._FilterDatabase" localSheetId="0" hidden="1">'BOM'!$A$2:$Y$19</definedName>
    <definedName name="_xlnm.Print_Area" localSheetId="0">'BOM'!$A$2:$L$19</definedName>
  </definedNames>
  <calcPr fullPrecision="1" calcMode="auto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<sst xmlns="http://schemas.openxmlformats.org/spreadsheetml/2006/main" uniqueCount="198">
  <si>
    <t>Quantity</t>
  </si>
  <si>
    <t>Description</t>
  </si>
  <si>
    <t>Footprint</t>
  </si>
  <si>
    <t>Name</t>
  </si>
  <si>
    <t>#</t>
  </si>
  <si>
    <t>Value</t>
  </si>
  <si>
    <t>Supplier 1</t>
  </si>
  <si>
    <t>Supplier Part Number 1</t>
  </si>
  <si>
    <t>Supplier 2</t>
  </si>
  <si>
    <t>Supplier Part Number 2</t>
  </si>
  <si>
    <t>Supplier 3</t>
  </si>
  <si>
    <t>Supplier Part Number 3</t>
  </si>
  <si>
    <t>Supplier 4</t>
  </si>
  <si>
    <t>Supplier Part Number 4</t>
  </si>
  <si>
    <t>Supplier 5</t>
  </si>
  <si>
    <t>Supplier Part Number 5</t>
  </si>
  <si>
    <t>BOM</t>
  </si>
  <si>
    <t>Supplier Part Number 6</t>
  </si>
  <si>
    <t>Supplier 6</t>
  </si>
  <si>
    <t>Voltage</t>
  </si>
  <si>
    <t>Dielectric</t>
  </si>
  <si>
    <t>Manufacturer Part Number</t>
  </si>
  <si>
    <t>Project:</t>
  </si>
  <si>
    <t>Equipment:</t>
  </si>
  <si>
    <t>GitHash:</t>
  </si>
  <si>
    <t>GerberVersion:</t>
  </si>
  <si>
    <t>Variant:</t>
  </si>
  <si>
    <t>Version:</t>
  </si>
  <si>
    <t>Manufacturer</t>
  </si>
  <si>
    <t>&lt;Parameter ProjectFullName not found&gt;</t>
  </si>
  <si>
    <t>&lt;Parameter Equipment not found&gt;</t>
  </si>
  <si>
    <t>&lt;Parameter Version not found&gt;</t>
  </si>
  <si>
    <t>None</t>
  </si>
  <si>
    <t>9cbbc6be6fb4526e78319699cc6ace231f61530c</t>
  </si>
  <si>
    <t>&lt;Parameter GerberVersion not found&gt;</t>
  </si>
  <si>
    <t>Part Number</t>
  </si>
  <si>
    <t>C_100nF_50V_X7R_0402_10</t>
  </si>
  <si>
    <t>C_47uF_25V_X5R_1206_20</t>
  </si>
  <si>
    <t>C_10uF_10V_X5R_0402_20</t>
  </si>
  <si>
    <t>C_10uF_10V_X5R_0805_10</t>
  </si>
  <si>
    <t>FB_BLM18AG121SH1D</t>
  </si>
  <si>
    <t>J_SMA_VERTICAL</t>
  </si>
  <si>
    <t>J_USB_C_629722000214</t>
  </si>
  <si>
    <t>R_750R_0402_1</t>
  </si>
  <si>
    <t>R_49.9R_0402_1_AECQ0</t>
  </si>
  <si>
    <t>R_75R_0402_1_AECQ0</t>
  </si>
  <si>
    <t>R_100R_0402_1_AECQ0</t>
  </si>
  <si>
    <t>R_10k_0402_1</t>
  </si>
  <si>
    <t>R_5.6k_0402_1</t>
  </si>
  <si>
    <t>R_1k_0402_1</t>
  </si>
  <si>
    <t>R_5.1k_0402_1</t>
  </si>
  <si>
    <t>VL_TLV77333PDBVR</t>
  </si>
  <si>
    <t>100nF</t>
  </si>
  <si>
    <t>47uF</t>
  </si>
  <si>
    <t>10uF</t>
  </si>
  <si>
    <t>120R@100M</t>
  </si>
  <si>
    <t>901-144-8RFX</t>
  </si>
  <si>
    <t>629722000214</t>
  </si>
  <si>
    <t>750R</t>
  </si>
  <si>
    <t>49.9R</t>
  </si>
  <si>
    <t>75R</t>
  </si>
  <si>
    <t>100R</t>
  </si>
  <si>
    <t>10k</t>
  </si>
  <si>
    <t>5.6k</t>
  </si>
  <si>
    <t>1k</t>
  </si>
  <si>
    <t>5.1k</t>
  </si>
  <si>
    <t>TLV77333PDBVR</t>
  </si>
  <si>
    <t>C_0402_1005</t>
  </si>
  <si>
    <t>C_1206_3216</t>
  </si>
  <si>
    <t>C_0805_2012</t>
  </si>
  <si>
    <t>FB_0603_1608</t>
  </si>
  <si>
    <t>R_0402_1005</t>
  </si>
  <si>
    <t>ADI-CP-16-3_L, JU6_MFG</t>
  </si>
  <si>
    <t>SOT23-5_SC74A_SOT753_M</t>
  </si>
  <si>
    <t>Designator</t>
  </si>
  <si>
    <t>C1, C2, C3, C6, C7, C8, C9, C10, C11, C13</t>
  </si>
  <si>
    <t>C4, C5</t>
  </si>
  <si>
    <t>C12</t>
  </si>
  <si>
    <t>C14, C16</t>
  </si>
  <si>
    <t>FB1</t>
  </si>
  <si>
    <t>J1</t>
  </si>
  <si>
    <t>J2</t>
  </si>
  <si>
    <t>R1</t>
  </si>
  <si>
    <t>R2</t>
  </si>
  <si>
    <t>R3</t>
  </si>
  <si>
    <t>R4</t>
  </si>
  <si>
    <t>R5</t>
  </si>
  <si>
    <t>R6</t>
  </si>
  <si>
    <t>R7</t>
  </si>
  <si>
    <t>R8, R9</t>
  </si>
  <si>
    <t>U1, Y1</t>
  </si>
  <si>
    <t>U2</t>
  </si>
  <si>
    <t>Capacitor</t>
  </si>
  <si>
    <t>Ferrite Bead</t>
  </si>
  <si>
    <t>SMA connector</t>
  </si>
  <si>
    <t>Ultrafast Single-Supply SiGe Comparator, 3.3 to 5 V, 150 ps Delay, Industrial, 16-pin QFN (CP-16-3), Tray, Renesas XL Family of Low Phase Noise Quartz-based PLL Oscillators</t>
  </si>
  <si>
    <t>TPS7A25</t>
  </si>
  <si>
    <t>Ceramic X7R</t>
  </si>
  <si>
    <t>Ceramic X5R</t>
  </si>
  <si>
    <t>Ferrite bead</t>
  </si>
  <si>
    <t>SMA VERTICAL</t>
  </si>
  <si>
    <t>USB 2.0 Type C</t>
  </si>
  <si>
    <t>Resistor</t>
  </si>
  <si>
    <t>ADCMP572BCPZ-WP, XLL736005.000000X</t>
  </si>
  <si>
    <t>LDO Voltage Regulators 300-mA high-PSRR low -IQ low-dropout regu</t>
  </si>
  <si>
    <t>50V</t>
  </si>
  <si>
    <t>25V</t>
  </si>
  <si>
    <t>10V</t>
  </si>
  <si>
    <t>3.3V</t>
  </si>
  <si>
    <t>X7R</t>
  </si>
  <si>
    <t>X5R</t>
  </si>
  <si>
    <t>Murata</t>
  </si>
  <si>
    <t>TDK</t>
  </si>
  <si>
    <t>Kemet</t>
  </si>
  <si>
    <t>Amphenol</t>
  </si>
  <si>
    <t>Wurth</t>
  </si>
  <si>
    <t>Panasonic</t>
  </si>
  <si>
    <t>Yageo</t>
  </si>
  <si>
    <t>Walsin</t>
  </si>
  <si>
    <t>Analog Devices, [NoParam]</t>
  </si>
  <si>
    <t>Texas Instruments</t>
  </si>
  <si>
    <t>GRM155R71H104KE14D</t>
  </si>
  <si>
    <t>C3216X5R1E476M160AC</t>
  </si>
  <si>
    <t>GRM155R61A106ME11D</t>
  </si>
  <si>
    <t>C0805C106K8PACTU</t>
  </si>
  <si>
    <t>BLM18AG121SH1D</t>
  </si>
  <si>
    <t>ERJ-S02F7500X</t>
  </si>
  <si>
    <t>ERJ-2RKF49R9X</t>
  </si>
  <si>
    <t>ERJ-2RKF75R0X</t>
  </si>
  <si>
    <t>ERJ-2RKF1000X</t>
  </si>
  <si>
    <t>RC0402FR-0710KL</t>
  </si>
  <si>
    <t>WR04X5601FTL</t>
  </si>
  <si>
    <t>RC0402FR-071K</t>
  </si>
  <si>
    <t>RC0402FR-075K1L</t>
  </si>
  <si>
    <t>TME</t>
  </si>
  <si>
    <t>C3216X5R1E476MAC</t>
  </si>
  <si>
    <t>C0805C106K8PAC</t>
  </si>
  <si>
    <t>ERJ2RKF49R9X</t>
  </si>
  <si>
    <t>ERJ2RKF75R0X</t>
  </si>
  <si>
    <t>ERJ2RKF1000X</t>
  </si>
  <si>
    <t>RC0402FR-0710K</t>
  </si>
  <si>
    <t>RS Components</t>
  </si>
  <si>
    <t>8847087</t>
  </si>
  <si>
    <t>7883060P</t>
  </si>
  <si>
    <t>260-8765P</t>
  </si>
  <si>
    <t>8029850</t>
  </si>
  <si>
    <t>1440894</t>
  </si>
  <si>
    <t>1987836</t>
  </si>
  <si>
    <t>Farnell</t>
  </si>
  <si>
    <t>2611912</t>
  </si>
  <si>
    <t>2525172</t>
  </si>
  <si>
    <t>3785802</t>
  </si>
  <si>
    <t>1463362</t>
  </si>
  <si>
    <t>2443234</t>
  </si>
  <si>
    <t>1339820</t>
  </si>
  <si>
    <t>4146212</t>
  </si>
  <si>
    <t>3310159</t>
  </si>
  <si>
    <t>2059109</t>
  </si>
  <si>
    <t>2059111</t>
  </si>
  <si>
    <t>2302528</t>
  </si>
  <si>
    <t>2502556</t>
  </si>
  <si>
    <t>9239235</t>
  </si>
  <si>
    <t>1458805</t>
  </si>
  <si>
    <t>Mouser</t>
  </si>
  <si>
    <t>81-GRM155R71H104KE4D</t>
  </si>
  <si>
    <t>810-C3216X5R1E476M</t>
  </si>
  <si>
    <t>81-GRM155R61A106ME1D</t>
  </si>
  <si>
    <t>80-C0805C106K8P</t>
  </si>
  <si>
    <t>81-BLM18AG121SH1D</t>
  </si>
  <si>
    <t>523-901-144-8RFX</t>
  </si>
  <si>
    <t>710-629722000214</t>
  </si>
  <si>
    <t>667-ERJ-S02F7500X</t>
  </si>
  <si>
    <t>667-ERJ-2RKF49R9X</t>
  </si>
  <si>
    <t>667-ERJ-2RKF75R0X</t>
  </si>
  <si>
    <t>667-ERJ-2RKF1000X</t>
  </si>
  <si>
    <t>603-RC0402FR-071KP</t>
  </si>
  <si>
    <t>603-RC0402FR-075K1L</t>
  </si>
  <si>
    <t>595-TLV77333PDBVR</t>
  </si>
  <si>
    <t>Digi-Key</t>
  </si>
  <si>
    <t>490-10700-1-ND</t>
  </si>
  <si>
    <t>445-8047-1-ND</t>
  </si>
  <si>
    <t>490-GRM155R61A106ME11DCT-ND</t>
  </si>
  <si>
    <t>399-C0805C106K8PAC7800CT-ND</t>
  </si>
  <si>
    <t>490-11024-1-ND</t>
  </si>
  <si>
    <t>ARFX1231-ND</t>
  </si>
  <si>
    <t>732-629722000214CT-ND</t>
  </si>
  <si>
    <t>ERJ-S02F7500X-ND</t>
  </si>
  <si>
    <t>P49.9LCT-ND</t>
  </si>
  <si>
    <t>P75.0LCT-ND</t>
  </si>
  <si>
    <t>P100LCT-ND</t>
  </si>
  <si>
    <t>311-1.00KLRCT-ND</t>
  </si>
  <si>
    <t>311-5.10KLRCT-ND</t>
  </si>
  <si>
    <t>296-TLV77333PDBVRCT-ND</t>
  </si>
  <si>
    <t>LCSC</t>
  </si>
  <si>
    <t>C408132</t>
  </si>
  <si>
    <t>C4025496</t>
  </si>
  <si>
    <t>C441726</t>
  </si>
  <si>
    <t>C413061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</si>
</sst>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9">
    <font>
      <sz val="10"/>
      <name val="Arial"/>
      <charset val="204"/>
      <color theme="1"/>
    </font>
    <font>
      <b/>
      <sz val="10"/>
      <name val="Arial"/>
      <charset val="0"/>
      <color theme="1"/>
    </font>
    <font>
      <sz val="8"/>
      <name val="Arial"/>
      <charset val="238"/>
      <color theme="1"/>
    </font>
    <font>
      <b/>
      <sz val="10"/>
      <name val="Arial"/>
      <charset val="238"/>
      <color theme="1"/>
    </font>
    <font>
      <sz val="10"/>
      <name val="Arial"/>
      <charset val="204"/>
      <color theme="1"/>
    </font>
    <font>
      <b/>
      <sz val="16"/>
      <name val="Arial"/>
      <charset val="238"/>
      <color theme="1"/>
    </font>
    <font>
      <sz val="10"/>
      <name val="Arial"/>
      <charset val="238"/>
      <color theme="1"/>
    </font>
    <font>
      <u val="single"/>
      <sz val="10"/>
      <name val="Arial"/>
      <charset val="204"/>
      <color theme="1"/>
    </font>
    <font>
      <u val="single"/>
      <sz val="10"/>
      <name val="Arial"/>
      <charset val="204"/>
      <color indexed="12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none">
        <fgColor indexed="64"/>
        <bgColor indexed="65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xxid="0" numFmtId="0" fontId="0" fillId="0" borderId="0"/>
    <xf xxid="28" numFmtId="0" fontId="8" fillId="4" borderId="0" applyAlignment="0"/>
  </cellStyleXfs>
  <cellXfs>
    <xf xxid="1" numFmtId="0" fontId="0" fillId="0" borderId="0" xfId="0" applyAlignment="1" applyBorder="1" applyFont="1" applyNumberFormat="1" applyFill="1" applyProtection="1"/>
    <xf xxid="2" numFmtId="0" fontId="0" fillId="0" borderId="0" xfId="0" applyAlignment="1" applyBorder="1" applyFont="1" applyNumberFormat="1" applyFill="1" applyProtection="1">
      <alignment wrapText="1"/>
    </xf>
    <xf xxid="3" numFmtId="0" fontId="0" fillId="0" borderId="1" xfId="0" applyAlignment="1" applyBorder="1" applyFont="1" applyNumberFormat="1" applyFill="1" applyProtection="1">
      <alignment horizontal="left" vertical="center" wrapText="1"/>
    </xf>
    <xf xxid="4" numFmtId="0" fontId="0" fillId="2" borderId="1" xfId="0" applyAlignment="1" applyBorder="1" applyFont="1" applyNumberFormat="1" applyFill="1" applyProtection="1">
      <alignment horizontal="left" vertical="center" wrapText="1"/>
    </xf>
    <xf xxid="5" numFmtId="0" fontId="0" fillId="0" borderId="2" xfId="0" applyAlignment="1" applyBorder="1" applyFont="1" applyNumberFormat="1" applyFill="1" applyProtection="1">
      <alignment horizontal="left" vertical="center" wrapText="1"/>
    </xf>
    <xf xxid="6" numFmtId="0" fontId="0" fillId="0" borderId="0" xfId="0" applyAlignment="1" applyBorder="1" applyFont="1" applyNumberFormat="1" applyFill="1" applyProtection="1">
      <alignment vertical="center" wrapText="1"/>
    </xf>
    <xf xxid="7" numFmtId="0" fontId="0" fillId="0" borderId="1" xfId="0" applyAlignment="1" applyBorder="1" applyFont="1" applyNumberFormat="1" applyFill="1" applyProtection="1">
      <alignment horizontal="center" vertical="center" wrapText="1"/>
    </xf>
    <xf xxid="8" numFmtId="0" fontId="0" fillId="0" borderId="2" xfId="0" applyAlignment="1" applyBorder="1" applyFont="1" applyNumberFormat="1" applyFill="1" applyProtection="1">
      <alignment horizontal="center" vertical="center" wrapText="1"/>
    </xf>
    <xf xxid="9" numFmtId="0" fontId="0" fillId="0" borderId="3" xfId="0" applyAlignment="1" applyBorder="1" applyFont="1" applyNumberFormat="1" applyFill="1" applyProtection="1"/>
    <xf xxid="10" numFmtId="0" fontId="0" fillId="0" borderId="4" xfId="0" applyAlignment="1" applyBorder="1" applyFont="1" applyNumberFormat="1" applyFill="1" applyProtection="1">
      <alignment horizontal="left" vertical="center" wrapText="1"/>
    </xf>
    <xf xxid="11" numFmtId="0" fontId="1" fillId="3" borderId="5" xfId="0" applyAlignment="1" applyBorder="1" applyFont="1" applyNumberFormat="1" applyFill="1" applyProtection="1">
      <alignment horizontal="center" wrapText="1"/>
    </xf>
    <xf xxid="12" numFmtId="0" fontId="3" fillId="2" borderId="6" xfId="0" applyAlignment="1" applyBorder="1" applyFont="1" applyNumberFormat="1" applyFill="1" applyProtection="1">
      <alignment vertical="center"/>
    </xf>
    <xf xxid="13" numFmtId="0" fontId="1" fillId="3" borderId="7" xfId="0" applyAlignment="1" applyBorder="1" applyFont="1" applyNumberFormat="1" applyFill="1" applyProtection="1">
      <alignment horizontal="center" wrapText="1"/>
    </xf>
    <xf xxid="14" numFmtId="0" fontId="1" fillId="3" borderId="8" xfId="0" applyAlignment="1" applyBorder="1" applyFont="1" applyNumberFormat="1" applyFill="1" applyProtection="1">
      <alignment horizontal="left" wrapText="1"/>
    </xf>
    <xf xxid="15" numFmtId="0" fontId="0" fillId="2" borderId="9" xfId="0" applyAlignment="1" applyBorder="1" applyFont="1" applyNumberFormat="1" applyFill="1" applyProtection="1">
      <alignment horizontal="center" vertical="center"/>
    </xf>
    <xf xxid="16" numFmtId="0" fontId="0" fillId="2" borderId="10" xfId="0" applyAlignment="1" applyBorder="1" applyFont="1" applyNumberFormat="1" applyFill="1" applyProtection="1">
      <alignment horizontal="center" vertical="center"/>
    </xf>
    <xf xxid="17" numFmtId="0" fontId="0" fillId="0" borderId="11" xfId="0" applyAlignment="1" applyBorder="1" applyFont="1" applyNumberFormat="1" applyFill="1" applyProtection="1">
      <alignment horizontal="center" vertical="center" wrapText="1"/>
    </xf>
    <xf xxid="18" numFmtId="0" fontId="0" fillId="0" borderId="12" xfId="0" applyAlignment="1" applyBorder="1" applyFont="1" applyNumberFormat="1" applyFill="1" applyProtection="1"/>
    <xf xxid="19" numFmtId="0" fontId="0" fillId="0" borderId="13" xfId="0" applyAlignment="1" applyBorder="1" applyFont="1" applyNumberFormat="1" applyFill="1" applyProtection="1">
      <alignment horizontal="center" vertical="center" wrapText="1"/>
    </xf>
    <xf xxid="20" numFmtId="0" fontId="6" fillId="2" borderId="14" xfId="0" applyAlignment="1" applyBorder="1" applyFont="1" applyNumberFormat="1" applyFill="1" applyProtection="1">
      <alignment vertical="center"/>
    </xf>
    <xf xxid="21" numFmtId="0" fontId="3" fillId="2" borderId="15" xfId="0" applyAlignment="1" applyBorder="1" applyFont="1" applyNumberFormat="1" applyFill="1" applyProtection="1">
      <alignment vertical="center"/>
    </xf>
    <xf xxid="22" numFmtId="0" fontId="5" fillId="2" borderId="16" xfId="0" applyAlignment="1" applyBorder="1" applyFont="1" applyNumberFormat="1" applyFill="1" applyProtection="1">
      <alignment vertical="center"/>
    </xf>
    <xf xxid="23" numFmtId="0" fontId="3" fillId="2" borderId="17" xfId="0" applyAlignment="1" applyBorder="1" applyFont="1" applyNumberFormat="1" applyFill="1" applyProtection="1">
      <alignment horizontal="center" vertical="center"/>
    </xf>
    <xf xxid="24" numFmtId="0" fontId="3" fillId="2" borderId="18" xfId="0" applyAlignment="1" applyBorder="1" applyFont="1" applyNumberFormat="1" applyFill="1" applyProtection="1">
      <alignment vertical="center"/>
    </xf>
    <xf xxid="25" numFmtId="0" fontId="0" fillId="0" borderId="0" xfId="0" applyAlignment="1" applyBorder="1" applyFont="1" applyNumberFormat="1" applyFill="1" applyProtection="1">
      <alignment horizontal="left" vertical="center"/>
    </xf>
    <xf xxid="26" numFmtId="0" fontId="0" fillId="0" borderId="0" xfId="0"/>
    <xf xxid="27" numFmtId="0" fontId="6" fillId="2" borderId="14" xfId="0" applyAlignment="1" applyBorder="1" applyFont="1" applyNumberFormat="1" applyFill="1" applyProtection="1" quotePrefix="1">
      <alignment vertical="center"/>
    </xf>
  </cellXfs>
  <cellStyles count="2">
    <cellStyle name="Normal" xfId="0" builtinId="0"/>
    <cellStyle name="Hyperlink" xfId="1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Y21"/>
  <sheetViews>
    <sheetView zoomScale="160" zoomScaleNormal="160" view="normal" workbookViewId="0">
      <pane xSplit="3" ySplit="2" topLeftCell="D3" activePane="bottomRight" state="frozen"/>
      <selection pane="bottomRight" activeCell="G8" sqref="G8"/>
    </sheetView>
  </sheetViews>
  <sheetFormatPr defaultRowHeight="13.2" baseColWidth="0"/>
  <cols>
    <col min="1" max="1" width="10.7109375" customWidth="1"/>
    <col min="2" max="2" width="32.421875" customWidth="1"/>
    <col min="3" max="3" width="25.421875" customWidth="1"/>
    <col min="4" max="6" width="20.7109375" customWidth="1"/>
    <col min="7" max="8" width="25.7109375" customWidth="1"/>
    <col min="9" max="9" width="20.7109375" customWidth="1"/>
    <col min="10" max="10" width="8.7109375" customWidth="1"/>
    <col min="11" max="11" width="20.7109375" customWidth="1"/>
    <col min="12" max="12" width="27.13671875" customWidth="1"/>
    <col min="13" max="13" width="20.7109375" customWidth="1"/>
    <col min="14" max="14" width="9.7109375" customWidth="1"/>
    <col min="15" max="15" width="25.7109375" customWidth="1"/>
    <col min="16" max="16" width="14.7109375" customWidth="1"/>
    <col min="17" max="17" width="25.7109375" customWidth="1"/>
    <col min="18" max="18" width="9.7109375" customWidth="1"/>
    <col min="19" max="19" width="25.7109375" customWidth="1"/>
    <col min="20" max="20" width="9.7109375" customWidth="1"/>
    <col min="21" max="21" width="25.7109375" customWidth="1"/>
    <col min="22" max="22" width="9.7109375" customWidth="1"/>
    <col min="23" max="23" width="25.7109375" customWidth="1"/>
    <col min="24" max="24" width="9.7109375" customWidth="1"/>
    <col min="25" max="25" width="25.7109375" customWidth="1"/>
  </cols>
  <sheetData>
    <row r="1" spans="1:17" ht="23.25" customHeight="1" thickBot="1">
      <c r="A1" s="21" t="s">
        <v>16</v>
      </c>
      <c r="B1" s="22" t="s">
        <v>22</v>
      </c>
      <c r="C1" s="19" t="s">
        <v>29</v>
      </c>
      <c r="D1" s="20" t="s">
        <v>23</v>
      </c>
      <c r="E1" s="19" t="s">
        <v>30</v>
      </c>
      <c r="F1" s="20" t="s">
        <v>27</v>
      </c>
      <c r="G1" s="19" t="s">
        <v>31</v>
      </c>
      <c r="H1" s="20" t="s">
        <v>26</v>
      </c>
      <c r="I1" s="26" t="s">
        <v>32</v>
      </c>
      <c r="J1" s="20" t="s">
        <v>24</v>
      </c>
      <c r="K1" s="26" t="s">
        <v>33</v>
      </c>
      <c r="L1" s="20" t="s">
        <v>25</v>
      </c>
      <c r="M1" s="19" t="s">
        <v>34</v>
      </c>
      <c r="O1" s="23"/>
      <c r="P1" s="11"/>
      <c r="Q1" s="24"/>
    </row>
    <row r="2" spans="1:24" s="1" customFormat="1" ht="73.5" customHeight="1" thickTop="1" thickBot="1">
      <c r="A2" s="13" t="s">
        <v>4</v>
      </c>
      <c r="B2" s="13" t="s">
        <v>35</v>
      </c>
      <c r="C2" s="10" t="s">
        <v>5</v>
      </c>
      <c r="D2" s="12" t="s">
        <v>2</v>
      </c>
      <c r="E2" s="12" t="s">
        <v>0</v>
      </c>
      <c r="F2" s="12" t="s">
        <v>74</v>
      </c>
      <c r="G2" s="12" t="s">
        <v>1</v>
      </c>
      <c r="H2" s="12" t="s">
        <v>3</v>
      </c>
      <c r="I2" s="12" t="s">
        <v>19</v>
      </c>
      <c r="J2" s="12" t="s">
        <v>20</v>
      </c>
      <c r="K2" s="12" t="s">
        <v>28</v>
      </c>
      <c r="L2" s="10" t="s">
        <v>21</v>
      </c>
      <c r="M2" s="10" t="s">
        <v>6</v>
      </c>
      <c r="N2" s="10" t="s">
        <v>7</v>
      </c>
      <c r="O2" s="10" t="s">
        <v>8</v>
      </c>
      <c r="P2" s="10" t="s">
        <v>9</v>
      </c>
      <c r="Q2" s="10" t="s">
        <v>10</v>
      </c>
      <c r="R2" s="10" t="s">
        <v>11</v>
      </c>
      <c r="S2" s="10" t="s">
        <v>12</v>
      </c>
      <c r="T2" s="10" t="s">
        <v>13</v>
      </c>
      <c r="U2" s="10" t="s">
        <v>14</v>
      </c>
      <c r="V2" s="10" t="s">
        <v>15</v>
      </c>
      <c r="W2" s="10" t="s">
        <v>18</v>
      </c>
      <c r="X2" s="10" t="s">
        <v>17</v>
      </c>
    </row>
    <row r="3" spans="1:25" ht="13.8" thickTop="1">
      <c r="A3" s="14">
        <f>ROW(A3) - ROW($A$2)</f>
        <v>1</v>
      </c>
      <c r="B3" s="14" t="s">
        <v>36</v>
      </c>
      <c r="C3" s="3" t="s">
        <v>52</v>
      </c>
      <c r="D3" s="2" t="s">
        <v>67</v>
      </c>
      <c r="E3" s="6">
        <v>10</v>
      </c>
      <c r="F3" s="6" t="s">
        <v>75</v>
      </c>
      <c r="G3" s="6" t="s">
        <v>92</v>
      </c>
      <c r="H3" s="6" t="s">
        <v>97</v>
      </c>
      <c r="I3" s="6" t="s">
        <v>105</v>
      </c>
      <c r="J3" s="6" t="s">
        <v>109</v>
      </c>
      <c r="K3" s="5" t="s">
        <v>111</v>
      </c>
      <c r="L3" s="2" t="s">
        <v>121</v>
      </c>
      <c r="M3" s="2" t="s">
        <v>134</v>
      </c>
      <c r="N3" s="2" t="s">
        <v>121</v>
      </c>
      <c r="O3" s="2" t="s">
        <v>141</v>
      </c>
      <c r="P3" s="2" t="s">
        <v>142</v>
      </c>
      <c r="Q3" s="2" t="s">
        <v>148</v>
      </c>
      <c r="R3" s="2" t="s">
        <v>149</v>
      </c>
      <c r="S3" s="2" t="s">
        <v>163</v>
      </c>
      <c r="T3" s="2" t="s">
        <v>164</v>
      </c>
      <c r="U3" s="2" t="s">
        <v>178</v>
      </c>
      <c r="V3" s="2" t="s">
        <v>179</v>
      </c>
      <c r="W3" s="2" t="s">
        <v>193</v>
      </c>
      <c r="X3" s="2"/>
      <c r="Y3" s="17"/>
    </row>
    <row r="4" spans="1:25">
      <c r="A4" s="14">
        <f>ROW(A4) - ROW($A$2)</f>
        <v>2</v>
      </c>
      <c r="B4" s="14" t="s">
        <v>37</v>
      </c>
      <c r="C4" s="3" t="s">
        <v>53</v>
      </c>
      <c r="D4" s="2" t="s">
        <v>68</v>
      </c>
      <c r="E4" s="7">
        <v>2</v>
      </c>
      <c r="F4" s="6" t="s">
        <v>76</v>
      </c>
      <c r="G4" s="6" t="s">
        <v>92</v>
      </c>
      <c r="H4" s="6" t="s">
        <v>98</v>
      </c>
      <c r="I4" s="6" t="s">
        <v>106</v>
      </c>
      <c r="J4" s="6" t="s">
        <v>110</v>
      </c>
      <c r="K4" s="2" t="s">
        <v>112</v>
      </c>
      <c r="L4" s="4" t="s">
        <v>122</v>
      </c>
      <c r="M4" s="4" t="s">
        <v>134</v>
      </c>
      <c r="N4" s="4" t="s">
        <v>135</v>
      </c>
      <c r="O4" s="4" t="s">
        <v>141</v>
      </c>
      <c r="P4" s="4" t="s">
        <v>143</v>
      </c>
      <c r="Q4" s="4" t="s">
        <v>148</v>
      </c>
      <c r="R4" s="4" t="s">
        <v>150</v>
      </c>
      <c r="S4" s="4" t="s">
        <v>163</v>
      </c>
      <c r="T4" s="4" t="s">
        <v>165</v>
      </c>
      <c r="U4" s="4" t="s">
        <v>178</v>
      </c>
      <c r="V4" s="4" t="s">
        <v>180</v>
      </c>
      <c r="W4" s="4" t="s">
        <v>193</v>
      </c>
      <c r="X4" s="4"/>
      <c r="Y4" s="17"/>
    </row>
    <row r="5" spans="1:25" ht="13.8" customHeight="1">
      <c r="A5" s="14">
        <f>ROW(A5) - ROW($A$2)</f>
        <v>3</v>
      </c>
      <c r="B5" s="14" t="s">
        <v>38</v>
      </c>
      <c r="C5" s="3" t="s">
        <v>54</v>
      </c>
      <c r="D5" s="2" t="s">
        <v>67</v>
      </c>
      <c r="E5" s="6">
        <v>1</v>
      </c>
      <c r="F5" s="6" t="s">
        <v>77</v>
      </c>
      <c r="G5" s="6" t="s">
        <v>92</v>
      </c>
      <c r="H5" s="6" t="s">
        <v>98</v>
      </c>
      <c r="I5" s="6" t="s">
        <v>107</v>
      </c>
      <c r="J5" s="6" t="s">
        <v>110</v>
      </c>
      <c r="K5" s="5" t="s">
        <v>111</v>
      </c>
      <c r="L5" s="2" t="s">
        <v>123</v>
      </c>
      <c r="M5" s="2" t="s">
        <v>134</v>
      </c>
      <c r="N5" s="2" t="s">
        <v>123</v>
      </c>
      <c r="O5" s="2" t="s">
        <v>141</v>
      </c>
      <c r="P5" s="2" t="s">
        <v>144</v>
      </c>
      <c r="Q5" s="2" t="s">
        <v>148</v>
      </c>
      <c r="R5" s="2" t="s">
        <v>151</v>
      </c>
      <c r="S5" s="2" t="s">
        <v>163</v>
      </c>
      <c r="T5" s="2" t="s">
        <v>166</v>
      </c>
      <c r="U5" s="2" t="s">
        <v>178</v>
      </c>
      <c r="V5" s="2" t="s">
        <v>181</v>
      </c>
      <c r="W5" s="2" t="s">
        <v>193</v>
      </c>
      <c r="X5" s="2" t="s">
        <v>194</v>
      </c>
      <c r="Y5" s="17"/>
    </row>
    <row r="6" spans="1:25" ht="13.8" customHeight="1">
      <c r="A6" s="14">
        <f>ROW(A6) - ROW($A$2)</f>
        <v>4</v>
      </c>
      <c r="B6" s="14" t="s">
        <v>39</v>
      </c>
      <c r="C6" s="3" t="s">
        <v>54</v>
      </c>
      <c r="D6" s="2" t="s">
        <v>69</v>
      </c>
      <c r="E6" s="7">
        <v>2</v>
      </c>
      <c r="F6" s="6" t="s">
        <v>78</v>
      </c>
      <c r="G6" s="6" t="s">
        <v>92</v>
      </c>
      <c r="H6" s="6" t="s">
        <v>98</v>
      </c>
      <c r="I6" s="6" t="s">
        <v>107</v>
      </c>
      <c r="J6" s="6" t="s">
        <v>110</v>
      </c>
      <c r="K6" s="2" t="s">
        <v>113</v>
      </c>
      <c r="L6" s="4" t="s">
        <v>124</v>
      </c>
      <c r="M6" s="4" t="s">
        <v>134</v>
      </c>
      <c r="N6" s="4" t="s">
        <v>136</v>
      </c>
      <c r="O6" s="4" t="s">
        <v>141</v>
      </c>
      <c r="P6" s="4" t="s">
        <v>145</v>
      </c>
      <c r="Q6" s="4" t="s">
        <v>148</v>
      </c>
      <c r="R6" s="4" t="s">
        <v>152</v>
      </c>
      <c r="S6" s="4" t="s">
        <v>163</v>
      </c>
      <c r="T6" s="4" t="s">
        <v>167</v>
      </c>
      <c r="U6" s="4" t="s">
        <v>178</v>
      </c>
      <c r="V6" s="4" t="s">
        <v>182</v>
      </c>
      <c r="W6" s="4" t="s">
        <v>193</v>
      </c>
      <c r="X6" s="4"/>
      <c r="Y6" s="17"/>
    </row>
    <row r="7" spans="1:25" ht="13.8" customHeight="1">
      <c r="A7" s="14">
        <f>ROW(A7) - ROW($A$2)</f>
        <v>5</v>
      </c>
      <c r="B7" s="14" t="s">
        <v>40</v>
      </c>
      <c r="C7" s="3" t="s">
        <v>55</v>
      </c>
      <c r="D7" s="2" t="s">
        <v>70</v>
      </c>
      <c r="E7" s="6">
        <v>1</v>
      </c>
      <c r="F7" s="6" t="s">
        <v>79</v>
      </c>
      <c r="G7" s="6" t="s">
        <v>93</v>
      </c>
      <c r="H7" s="6" t="s">
        <v>99</v>
      </c>
      <c r="I7" s="6"/>
      <c r="J7" s="6"/>
      <c r="K7" s="5" t="s">
        <v>111</v>
      </c>
      <c r="L7" s="2" t="s">
        <v>125</v>
      </c>
      <c r="M7" s="2" t="s">
        <v>134</v>
      </c>
      <c r="N7" s="2" t="s">
        <v>125</v>
      </c>
      <c r="O7" s="2" t="s">
        <v>141</v>
      </c>
      <c r="P7" s="2"/>
      <c r="Q7" s="2" t="s">
        <v>148</v>
      </c>
      <c r="R7" s="2" t="s">
        <v>153</v>
      </c>
      <c r="S7" s="2" t="s">
        <v>163</v>
      </c>
      <c r="T7" s="2" t="s">
        <v>168</v>
      </c>
      <c r="U7" s="2" t="s">
        <v>178</v>
      </c>
      <c r="V7" s="2" t="s">
        <v>183</v>
      </c>
      <c r="W7" s="2" t="s">
        <v>193</v>
      </c>
      <c r="X7" s="2"/>
      <c r="Y7" s="17"/>
    </row>
    <row r="8" spans="1:25" ht="13.8" customHeight="1">
      <c r="A8" s="14">
        <f>ROW(A8) - ROW($A$2)</f>
        <v>6</v>
      </c>
      <c r="B8" s="14" t="s">
        <v>41</v>
      </c>
      <c r="C8" s="3" t="s">
        <v>56</v>
      </c>
      <c r="D8" s="2" t="s">
        <v>41</v>
      </c>
      <c r="E8" s="7">
        <v>1</v>
      </c>
      <c r="F8" s="6" t="s">
        <v>80</v>
      </c>
      <c r="G8" s="6" t="s">
        <v>94</v>
      </c>
      <c r="H8" s="6" t="s">
        <v>100</v>
      </c>
      <c r="I8" s="6"/>
      <c r="J8" s="6"/>
      <c r="K8" s="2" t="s">
        <v>114</v>
      </c>
      <c r="L8" s="4" t="s">
        <v>56</v>
      </c>
      <c r="M8" s="4" t="s">
        <v>134</v>
      </c>
      <c r="N8" s="4" t="s">
        <v>56</v>
      </c>
      <c r="O8" s="4" t="s">
        <v>141</v>
      </c>
      <c r="P8" s="4" t="s">
        <v>146</v>
      </c>
      <c r="Q8" s="4" t="s">
        <v>148</v>
      </c>
      <c r="R8" s="4" t="s">
        <v>154</v>
      </c>
      <c r="S8" s="4" t="s">
        <v>163</v>
      </c>
      <c r="T8" s="4" t="s">
        <v>169</v>
      </c>
      <c r="U8" s="4" t="s">
        <v>178</v>
      </c>
      <c r="V8" s="4" t="s">
        <v>184</v>
      </c>
      <c r="W8" s="4" t="s">
        <v>193</v>
      </c>
      <c r="X8" s="4"/>
      <c r="Y8" s="17"/>
    </row>
    <row r="9" spans="1:25" ht="13.8" customHeight="1">
      <c r="A9" s="14">
        <f>ROW(A9) - ROW($A$2)</f>
        <v>7</v>
      </c>
      <c r="B9" s="14" t="s">
        <v>42</v>
      </c>
      <c r="C9" s="3" t="s">
        <v>57</v>
      </c>
      <c r="D9" s="2" t="s">
        <v>42</v>
      </c>
      <c r="E9" s="6">
        <v>1</v>
      </c>
      <c r="F9" s="6" t="s">
        <v>81</v>
      </c>
      <c r="G9" s="6"/>
      <c r="H9" s="6" t="s">
        <v>101</v>
      </c>
      <c r="I9" s="6"/>
      <c r="J9" s="6"/>
      <c r="K9" s="5" t="s">
        <v>115</v>
      </c>
      <c r="L9" s="2" t="s">
        <v>57</v>
      </c>
      <c r="M9" s="2" t="s">
        <v>134</v>
      </c>
      <c r="N9" s="2"/>
      <c r="O9" s="2" t="s">
        <v>141</v>
      </c>
      <c r="P9" s="2"/>
      <c r="Q9" s="2" t="s">
        <v>148</v>
      </c>
      <c r="R9" s="2" t="s">
        <v>155</v>
      </c>
      <c r="S9" s="2" t="s">
        <v>163</v>
      </c>
      <c r="T9" s="2" t="s">
        <v>170</v>
      </c>
      <c r="U9" s="2" t="s">
        <v>178</v>
      </c>
      <c r="V9" s="2" t="s">
        <v>185</v>
      </c>
      <c r="W9" s="2" t="s">
        <v>193</v>
      </c>
      <c r="X9" s="2"/>
      <c r="Y9" s="17"/>
    </row>
    <row r="10" spans="1:25" ht="13.8" customHeight="1">
      <c r="A10" s="14">
        <f>ROW(A10) - ROW($A$2)</f>
        <v>8</v>
      </c>
      <c r="B10" s="14" t="s">
        <v>43</v>
      </c>
      <c r="C10" s="3" t="s">
        <v>58</v>
      </c>
      <c r="D10" s="2" t="s">
        <v>71</v>
      </c>
      <c r="E10" s="7">
        <v>1</v>
      </c>
      <c r="F10" s="6" t="s">
        <v>82</v>
      </c>
      <c r="G10" s="6"/>
      <c r="H10" s="6" t="s">
        <v>102</v>
      </c>
      <c r="I10" s="6" t="s">
        <v>105</v>
      </c>
      <c r="J10" s="6"/>
      <c r="K10" s="2" t="s">
        <v>116</v>
      </c>
      <c r="L10" s="4" t="s">
        <v>126</v>
      </c>
      <c r="M10" s="4" t="s">
        <v>134</v>
      </c>
      <c r="N10" s="4"/>
      <c r="O10" s="4" t="s">
        <v>141</v>
      </c>
      <c r="P10" s="4"/>
      <c r="Q10" s="4" t="s">
        <v>148</v>
      </c>
      <c r="R10" s="4" t="s">
        <v>156</v>
      </c>
      <c r="S10" s="4" t="s">
        <v>163</v>
      </c>
      <c r="T10" s="4" t="s">
        <v>171</v>
      </c>
      <c r="U10" s="4" t="s">
        <v>178</v>
      </c>
      <c r="V10" s="4" t="s">
        <v>186</v>
      </c>
      <c r="W10" s="4" t="s">
        <v>193</v>
      </c>
      <c r="X10" s="4" t="s">
        <v>195</v>
      </c>
      <c r="Y10" s="17"/>
    </row>
    <row r="11" spans="1:25" ht="13.8" customHeight="1">
      <c r="A11" s="14">
        <f>ROW(A11) - ROW($A$2)</f>
        <v>9</v>
      </c>
      <c r="B11" s="14" t="s">
        <v>44</v>
      </c>
      <c r="C11" s="3" t="s">
        <v>59</v>
      </c>
      <c r="D11" s="2" t="s">
        <v>71</v>
      </c>
      <c r="E11" s="6">
        <v>1</v>
      </c>
      <c r="F11" s="6" t="s">
        <v>83</v>
      </c>
      <c r="G11" s="6"/>
      <c r="H11" s="6" t="s">
        <v>102</v>
      </c>
      <c r="I11" s="6" t="s">
        <v>105</v>
      </c>
      <c r="J11" s="6"/>
      <c r="K11" s="5" t="s">
        <v>116</v>
      </c>
      <c r="L11" s="2" t="s">
        <v>127</v>
      </c>
      <c r="M11" s="2" t="s">
        <v>134</v>
      </c>
      <c r="N11" s="2" t="s">
        <v>137</v>
      </c>
      <c r="O11" s="2" t="s">
        <v>141</v>
      </c>
      <c r="P11" s="2"/>
      <c r="Q11" s="2" t="s">
        <v>148</v>
      </c>
      <c r="R11" s="2" t="s">
        <v>157</v>
      </c>
      <c r="S11" s="2" t="s">
        <v>163</v>
      </c>
      <c r="T11" s="2" t="s">
        <v>172</v>
      </c>
      <c r="U11" s="2" t="s">
        <v>178</v>
      </c>
      <c r="V11" s="2" t="s">
        <v>187</v>
      </c>
      <c r="W11" s="2" t="s">
        <v>193</v>
      </c>
      <c r="X11" s="2" t="s">
        <v>196</v>
      </c>
      <c r="Y11" s="17"/>
    </row>
    <row r="12" spans="1:25" ht="13.8" customHeight="1">
      <c r="A12" s="14">
        <f>ROW(A12) - ROW($A$2)</f>
        <v>10</v>
      </c>
      <c r="B12" s="14" t="s">
        <v>45</v>
      </c>
      <c r="C12" s="3" t="s">
        <v>60</v>
      </c>
      <c r="D12" s="2" t="s">
        <v>71</v>
      </c>
      <c r="E12" s="7">
        <v>1</v>
      </c>
      <c r="F12" s="6" t="s">
        <v>84</v>
      </c>
      <c r="G12" s="6"/>
      <c r="H12" s="6" t="s">
        <v>102</v>
      </c>
      <c r="I12" s="6" t="s">
        <v>105</v>
      </c>
      <c r="J12" s="6"/>
      <c r="K12" s="2" t="s">
        <v>116</v>
      </c>
      <c r="L12" s="4" t="s">
        <v>128</v>
      </c>
      <c r="M12" s="4" t="s">
        <v>134</v>
      </c>
      <c r="N12" s="4" t="s">
        <v>138</v>
      </c>
      <c r="O12" s="4" t="s">
        <v>141</v>
      </c>
      <c r="P12" s="4"/>
      <c r="Q12" s="4" t="s">
        <v>148</v>
      </c>
      <c r="R12" s="4" t="s">
        <v>158</v>
      </c>
      <c r="S12" s="4" t="s">
        <v>163</v>
      </c>
      <c r="T12" s="4" t="s">
        <v>173</v>
      </c>
      <c r="U12" s="4" t="s">
        <v>178</v>
      </c>
      <c r="V12" s="4" t="s">
        <v>188</v>
      </c>
      <c r="W12" s="4" t="s">
        <v>193</v>
      </c>
      <c r="X12" s="4" t="s">
        <v>197</v>
      </c>
      <c r="Y12" s="17"/>
    </row>
    <row r="13" spans="1:25" ht="13.8" customHeight="1">
      <c r="A13" s="14">
        <f>ROW(A13) - ROW($A$2)</f>
        <v>11</v>
      </c>
      <c r="B13" s="14" t="s">
        <v>46</v>
      </c>
      <c r="C13" s="3" t="s">
        <v>61</v>
      </c>
      <c r="D13" s="2" t="s">
        <v>71</v>
      </c>
      <c r="E13" s="6">
        <v>1</v>
      </c>
      <c r="F13" s="6" t="s">
        <v>85</v>
      </c>
      <c r="G13" s="6"/>
      <c r="H13" s="6" t="s">
        <v>102</v>
      </c>
      <c r="I13" s="6" t="s">
        <v>105</v>
      </c>
      <c r="J13" s="6"/>
      <c r="K13" s="5" t="s">
        <v>116</v>
      </c>
      <c r="L13" s="2" t="s">
        <v>129</v>
      </c>
      <c r="M13" s="2" t="s">
        <v>134</v>
      </c>
      <c r="N13" s="2" t="s">
        <v>139</v>
      </c>
      <c r="O13" s="2" t="s">
        <v>141</v>
      </c>
      <c r="P13" s="2"/>
      <c r="Q13" s="2" t="s">
        <v>148</v>
      </c>
      <c r="R13" s="2" t="s">
        <v>159</v>
      </c>
      <c r="S13" s="2" t="s">
        <v>163</v>
      </c>
      <c r="T13" s="2" t="s">
        <v>174</v>
      </c>
      <c r="U13" s="2" t="s">
        <v>178</v>
      </c>
      <c r="V13" s="2" t="s">
        <v>189</v>
      </c>
      <c r="W13" s="2" t="s">
        <v>193</v>
      </c>
      <c r="X13" s="2"/>
      <c r="Y13" s="17"/>
    </row>
    <row r="14" spans="1:25" ht="13.8" customHeight="1">
      <c r="A14" s="14">
        <f>ROW(A14) - ROW($A$2)</f>
        <v>12</v>
      </c>
      <c r="B14" s="14" t="s">
        <v>47</v>
      </c>
      <c r="C14" s="3" t="s">
        <v>62</v>
      </c>
      <c r="D14" s="2" t="s">
        <v>71</v>
      </c>
      <c r="E14" s="7">
        <v>1</v>
      </c>
      <c r="F14" s="6" t="s">
        <v>86</v>
      </c>
      <c r="G14" s="6"/>
      <c r="H14" s="6" t="s">
        <v>102</v>
      </c>
      <c r="I14" s="6" t="s">
        <v>105</v>
      </c>
      <c r="J14" s="6"/>
      <c r="K14" s="2" t="s">
        <v>117</v>
      </c>
      <c r="L14" s="4" t="s">
        <v>130</v>
      </c>
      <c r="M14" s="4" t="s">
        <v>134</v>
      </c>
      <c r="N14" s="4" t="s">
        <v>140</v>
      </c>
      <c r="O14" s="4" t="s">
        <v>141</v>
      </c>
      <c r="P14" s="4"/>
      <c r="Q14" s="4" t="s">
        <v>148</v>
      </c>
      <c r="R14" s="4"/>
      <c r="S14" s="4" t="s">
        <v>163</v>
      </c>
      <c r="T14" s="4"/>
      <c r="U14" s="4" t="s">
        <v>178</v>
      </c>
      <c r="V14" s="4"/>
      <c r="W14" s="4" t="s">
        <v>193</v>
      </c>
      <c r="X14" s="4"/>
      <c r="Y14" s="17"/>
    </row>
    <row r="15" spans="1:25" ht="13.8" customHeight="1">
      <c r="A15" s="14">
        <f>ROW(A15) - ROW($A$2)</f>
        <v>13</v>
      </c>
      <c r="B15" s="14" t="s">
        <v>48</v>
      </c>
      <c r="C15" s="3" t="s">
        <v>63</v>
      </c>
      <c r="D15" s="2" t="s">
        <v>71</v>
      </c>
      <c r="E15" s="6">
        <v>1</v>
      </c>
      <c r="F15" s="6" t="s">
        <v>87</v>
      </c>
      <c r="G15" s="6"/>
      <c r="H15" s="6" t="s">
        <v>102</v>
      </c>
      <c r="I15" s="6" t="s">
        <v>105</v>
      </c>
      <c r="J15" s="6"/>
      <c r="K15" s="5" t="s">
        <v>118</v>
      </c>
      <c r="L15" s="2" t="s">
        <v>131</v>
      </c>
      <c r="M15" s="2" t="s">
        <v>134</v>
      </c>
      <c r="N15" s="2"/>
      <c r="O15" s="2" t="s">
        <v>141</v>
      </c>
      <c r="P15" s="2"/>
      <c r="Q15" s="2" t="s">
        <v>148</v>
      </c>
      <c r="R15" s="2" t="s">
        <v>160</v>
      </c>
      <c r="S15" s="2" t="s">
        <v>163</v>
      </c>
      <c r="T15" s="2"/>
      <c r="U15" s="2" t="s">
        <v>178</v>
      </c>
      <c r="V15" s="2"/>
      <c r="W15" s="2" t="s">
        <v>193</v>
      </c>
      <c r="X15" s="2"/>
      <c r="Y15" s="17"/>
    </row>
    <row r="16" spans="1:25" ht="13.8" customHeight="1">
      <c r="A16" s="14">
        <f>ROW(A16) - ROW($A$2)</f>
        <v>14</v>
      </c>
      <c r="B16" s="14" t="s">
        <v>49</v>
      </c>
      <c r="C16" s="3" t="s">
        <v>64</v>
      </c>
      <c r="D16" s="2" t="s">
        <v>71</v>
      </c>
      <c r="E16" s="7">
        <v>1</v>
      </c>
      <c r="F16" s="6" t="s">
        <v>88</v>
      </c>
      <c r="G16" s="6"/>
      <c r="H16" s="6" t="s">
        <v>102</v>
      </c>
      <c r="I16" s="6" t="s">
        <v>105</v>
      </c>
      <c r="J16" s="6"/>
      <c r="K16" s="2" t="s">
        <v>117</v>
      </c>
      <c r="L16" s="4" t="s">
        <v>132</v>
      </c>
      <c r="M16" s="4" t="s">
        <v>134</v>
      </c>
      <c r="N16" s="4" t="s">
        <v>132</v>
      </c>
      <c r="O16" s="4" t="s">
        <v>141</v>
      </c>
      <c r="P16" s="4"/>
      <c r="Q16" s="4" t="s">
        <v>148</v>
      </c>
      <c r="R16" s="4" t="s">
        <v>161</v>
      </c>
      <c r="S16" s="4" t="s">
        <v>163</v>
      </c>
      <c r="T16" s="4" t="s">
        <v>175</v>
      </c>
      <c r="U16" s="4" t="s">
        <v>178</v>
      </c>
      <c r="V16" s="4" t="s">
        <v>190</v>
      </c>
      <c r="W16" s="4" t="s">
        <v>193</v>
      </c>
      <c r="X16" s="4"/>
      <c r="Y16" s="17"/>
    </row>
    <row r="17" spans="1:25" ht="13.8" customHeight="1">
      <c r="A17" s="14">
        <f>ROW(A17) - ROW($A$2)</f>
        <v>15</v>
      </c>
      <c r="B17" s="14" t="s">
        <v>50</v>
      </c>
      <c r="C17" s="3" t="s">
        <v>65</v>
      </c>
      <c r="D17" s="2" t="s">
        <v>71</v>
      </c>
      <c r="E17" s="6">
        <v>2</v>
      </c>
      <c r="F17" s="6" t="s">
        <v>89</v>
      </c>
      <c r="G17" s="6"/>
      <c r="H17" s="6" t="s">
        <v>102</v>
      </c>
      <c r="I17" s="6" t="s">
        <v>105</v>
      </c>
      <c r="J17" s="6"/>
      <c r="K17" s="5" t="s">
        <v>117</v>
      </c>
      <c r="L17" s="2" t="s">
        <v>133</v>
      </c>
      <c r="M17" s="2" t="s">
        <v>134</v>
      </c>
      <c r="N17" s="2" t="s">
        <v>133</v>
      </c>
      <c r="O17" s="2" t="s">
        <v>141</v>
      </c>
      <c r="P17" s="2" t="s">
        <v>147</v>
      </c>
      <c r="Q17" s="2" t="s">
        <v>148</v>
      </c>
      <c r="R17" s="2" t="s">
        <v>162</v>
      </c>
      <c r="S17" s="2" t="s">
        <v>163</v>
      </c>
      <c r="T17" s="2" t="s">
        <v>176</v>
      </c>
      <c r="U17" s="2" t="s">
        <v>178</v>
      </c>
      <c r="V17" s="2" t="s">
        <v>191</v>
      </c>
      <c r="W17" s="2" t="s">
        <v>193</v>
      </c>
      <c r="X17" s="2"/>
      <c r="Y17" s="17"/>
    </row>
    <row r="18" spans="1:25" ht="13.8" customHeight="1">
      <c r="A18" s="14">
        <f>ROW(A18) - ROW($A$2)</f>
        <v>16</v>
      </c>
      <c r="B18" s="14"/>
      <c r="C18" s="3"/>
      <c r="D18" s="2" t="s">
        <v>72</v>
      </c>
      <c r="E18" s="7">
        <v>2</v>
      </c>
      <c r="F18" s="6" t="s">
        <v>90</v>
      </c>
      <c r="G18" s="6" t="s">
        <v>95</v>
      </c>
      <c r="H18" s="6" t="s">
        <v>103</v>
      </c>
      <c r="I18" s="6"/>
      <c r="J18" s="6"/>
      <c r="K18" s="2" t="s">
        <v>119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17"/>
    </row>
    <row r="19" spans="1:25" ht="13.8" customHeight="1">
      <c r="A19" s="14">
        <f>ROW(A19) - ROW($A$2)</f>
        <v>17</v>
      </c>
      <c r="B19" s="14" t="s">
        <v>51</v>
      </c>
      <c r="C19" s="3" t="s">
        <v>66</v>
      </c>
      <c r="D19" s="2" t="s">
        <v>73</v>
      </c>
      <c r="E19" s="6">
        <v>1</v>
      </c>
      <c r="F19" s="6" t="s">
        <v>91</v>
      </c>
      <c r="G19" s="6" t="s">
        <v>96</v>
      </c>
      <c r="H19" s="6" t="s">
        <v>104</v>
      </c>
      <c r="I19" s="6" t="s">
        <v>108</v>
      </c>
      <c r="J19" s="6"/>
      <c r="K19" s="5" t="s">
        <v>120</v>
      </c>
      <c r="L19" s="2" t="s">
        <v>66</v>
      </c>
      <c r="M19" s="2" t="s">
        <v>134</v>
      </c>
      <c r="N19" s="2"/>
      <c r="O19" s="2" t="s">
        <v>141</v>
      </c>
      <c r="P19" s="2"/>
      <c r="Q19" s="2" t="s">
        <v>148</v>
      </c>
      <c r="R19" s="2"/>
      <c r="S19" s="2" t="s">
        <v>163</v>
      </c>
      <c r="T19" s="2" t="s">
        <v>177</v>
      </c>
      <c r="U19" s="2" t="s">
        <v>178</v>
      </c>
      <c r="V19" s="2" t="s">
        <v>192</v>
      </c>
      <c r="W19" s="2" t="s">
        <v>193</v>
      </c>
      <c r="X19" s="2"/>
      <c r="Y19" s="17"/>
    </row>
    <row r="20" spans="1:25" ht="13.8" thickBot="1">
      <c r="A20" s="15"/>
      <c r="B20" s="15"/>
      <c r="C20" s="3"/>
      <c r="D20" s="2"/>
      <c r="E20" s="16"/>
      <c r="F20" s="18"/>
      <c r="G20" s="18"/>
      <c r="H20" s="18"/>
      <c r="I20" s="18"/>
      <c r="J20" s="18"/>
      <c r="K20" s="2"/>
      <c r="L20" s="4"/>
      <c r="M20" s="4"/>
      <c r="N20" s="4"/>
      <c r="O20" s="4"/>
      <c r="P20" s="9"/>
      <c r="Q20" s="9"/>
      <c r="R20" s="9"/>
      <c r="S20" s="9"/>
      <c r="T20" s="9"/>
      <c r="U20" s="9"/>
      <c r="V20" s="9"/>
      <c r="W20" s="9"/>
      <c r="X20" s="9"/>
      <c r="Y20" s="17"/>
    </row>
    <row r="21" spans="3:21" ht="23.25" customHeight="1" thickTop="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Q21" s="8"/>
      <c r="S21" s="8"/>
      <c r="U21" s="8"/>
    </row>
  </sheetData>
  <autoFilter ref="A2:Y19"/>
  <pageMargins left="0.75" right="0.75" top="1" bottom="1" header="0.5" footer="0.5"/>
  <pageSetup paperSize="9" scale="74" orientation="landscape" horizontalDpi="360" verticalDpi="360" r:id="rId1"/>
</worksheet>
</file>

<file path=docProps/app.xml><?xml version="1.0" encoding="utf-8"?>
<Properties xmlns="http://schemas.openxmlformats.org/officeDocument/2006/extended-properties">
  <Application>Microsoft Excel</Application>
  <Company>Altium Limited</Company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Grzegorz Gajoch</dc:creator>
  <cp:lastModifiedBy>Grzegorz Gajoch</cp:lastModifiedBy>
  <dcterms:created xsi:type="dcterms:W3CDTF">2005-05-18T01:53:09Z</dcterms:created>
  <dcterms:modified xsi:type="dcterms:W3CDTF">2025-12-15T20:48:45Z</dcterms:modified>
  <cp:lastPrinted>2005-05-18T04:03:43Z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